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jf409/Library/Mobile Documents/com~apple~CloudDocs/Study_n_work/10_postdoc/02_projects/02_CyanoChaoborus/"/>
    </mc:Choice>
  </mc:AlternateContent>
  <xr:revisionPtr revIDLastSave="0" documentId="13_ncr:1_{708671A4-36F4-8B49-B8AA-EBF8028E68C2}" xr6:coauthVersionLast="47" xr6:coauthVersionMax="47" xr10:uidLastSave="{00000000-0000-0000-0000-000000000000}"/>
  <bookViews>
    <workbookView xWindow="1020" yWindow="600" windowWidth="29400" windowHeight="15200" xr2:uid="{1BE903EF-3322-AD42-8274-5699933717D2}"/>
  </bookViews>
  <sheets>
    <sheet name="Assumptions" sheetId="4" r:id="rId1"/>
    <sheet name="Derived values" sheetId="5" r:id="rId2"/>
    <sheet name="Material availbale" sheetId="6" r:id="rId3"/>
  </sheets>
  <definedNames>
    <definedName name="Biomass_for_lipids_mg">Assumptions!$C$31</definedName>
    <definedName name="Biomass_for_stoichiometry_mg">Assumptions!$C$32</definedName>
    <definedName name="Biomass_for_toxins_mg">Assumptions!$C$30</definedName>
    <definedName name="Biomass_needed_for_lipids_mg">Assumptions!$C$31</definedName>
    <definedName name="Biomass_needed_for_stoichiometry_mg">Assumptions!$C$32</definedName>
    <definedName name="Biomass_needed_for_toxins_mg">Assumptions!$C$30</definedName>
    <definedName name="Chaoborus_medium_l">Assumptions!$C$10</definedName>
    <definedName name="Chaoborus_one_measurement">'Derived values'!$C$4</definedName>
    <definedName name="Chaoborus_one_time_point">'Derived values'!$C$4</definedName>
    <definedName name="Chaoborus_per_jar">Assumptions!#REF!</definedName>
    <definedName name="Chaoborus_third_instar_dry_weight_mg">Assumptions!$C$9</definedName>
    <definedName name="Chaoborus_total">'Derived values'!$C$5</definedName>
    <definedName name="Daphnia_dry_weight_mg">Assumptions!$C$21</definedName>
    <definedName name="Daphnia_large_jar_medium_l">Assumptions!$C$7</definedName>
    <definedName name="Daphnia_neonates_born_per_5_days">Assumptions!$C$20</definedName>
    <definedName name="Daphnia_neonates_per_feeding">Assumptions!$C$13</definedName>
    <definedName name="Daphnia_per_large_jar">Assumptions!$C$15</definedName>
    <definedName name="Daphnia_per_small_jar">Assumptions!$C$16</definedName>
    <definedName name="Daphnia_small_jar_medium_l">Assumptions!$C$6</definedName>
    <definedName name="Daphnia_total_medium_l">'Derived values'!$C$10</definedName>
    <definedName name="Dead_alive_ratio_Chaoborus_worst_treatment">Assumptions!$C$12</definedName>
    <definedName name="Growth_time_M_aeruginosa_days">Assumptions!$C$23</definedName>
    <definedName name="Growth_time_N_limnetica_days">Assumptions!$C$25</definedName>
    <definedName name="Growth_time_S_elongatus_days">Assumptions!$C$24</definedName>
    <definedName name="Growth_time_T_obliquus_days">Assumptions!$C$26</definedName>
    <definedName name="Jar_Chaoborus_weight_kg">Assumptions!$C$11</definedName>
    <definedName name="Jar_large_Daphnia_weight_kg">Assumptions!$C$18</definedName>
    <definedName name="Jar_small_Daphnia_weight_kg">Assumptions!$C$17</definedName>
    <definedName name="Jars_big_Daphnia">'Derived values'!$C$8</definedName>
    <definedName name="Jars_Chaoborus">'Derived values'!$C$6</definedName>
    <definedName name="Jars_small_Daphnia">'Derived values'!$C$7</definedName>
    <definedName name="Jars_small_Daphnia_l">Assumptions!$C$6</definedName>
    <definedName name="Jars_total">'Derived values'!$C$3</definedName>
    <definedName name="n_life_stages">Assumptions!$C$8</definedName>
    <definedName name="Phyto_C_to_Daphnia_mg_per_l">Assumptions!$C$19</definedName>
    <definedName name="Phytoplankton_concentration_mgC_l">Assumptions!$C$27</definedName>
    <definedName name="Replicates">Assumptions!$C$3</definedName>
    <definedName name="Shelves">Assumptions!$C$4</definedName>
    <definedName name="Shelves_max_weight">Assumptions!$C$5</definedName>
    <definedName name="Total_weight">'Derived values'!#REF!</definedName>
    <definedName name="Treatments">Assumptions!$C$2</definedName>
    <definedName name="Weight_per_shelf">'Derived values'!$C$2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5" l="1"/>
  <c r="C5" i="5" s="1"/>
  <c r="C7" i="5" s="1"/>
  <c r="C6" i="5"/>
  <c r="C10" i="5" l="1"/>
  <c r="C9" i="5" s="1"/>
  <c r="C8" i="5"/>
  <c r="C3" i="5" s="1"/>
  <c r="C2" i="5" l="1"/>
</calcChain>
</file>

<file path=xl/sharedStrings.xml><?xml version="1.0" encoding="utf-8"?>
<sst xmlns="http://schemas.openxmlformats.org/spreadsheetml/2006/main" count="122" uniqueCount="82">
  <si>
    <t>Treatments</t>
  </si>
  <si>
    <t>Replicates</t>
  </si>
  <si>
    <t>Explanation</t>
  </si>
  <si>
    <t>Category</t>
  </si>
  <si>
    <t>According to Tarn (1 mg for fatty acids + 1 mg for steorls)</t>
  </si>
  <si>
    <t>According to Dominik in email to Claudia</t>
  </si>
  <si>
    <t>Toxins (mg)</t>
  </si>
  <si>
    <t>Lipids (mg)</t>
  </si>
  <si>
    <t>Stoichiometry (mg)</t>
  </si>
  <si>
    <t>Shelves  (n)</t>
  </si>
  <si>
    <t>1000 ml jar</t>
  </si>
  <si>
    <t>100 ml jar</t>
  </si>
  <si>
    <t>Max weight/shelf (kg)</t>
  </si>
  <si>
    <t>Name</t>
  </si>
  <si>
    <t>Value</t>
  </si>
  <si>
    <t>Average weight of an individual in the following paper: Simčič, T., &amp; Brancelj, A. (1997). Electron transport system (ETS) activity and respiration rate in five Daphnia species at different temperatures. Hydrobiologia, 360(1), 117-125.</t>
  </si>
  <si>
    <t>Lowest weight in the following paper: Parma, S. (1971). Chaoborus flavicans (Meigen)(Diptera, Chaoboridae): an autecological study.</t>
  </si>
  <si>
    <t>3rd instar dry weight (mg)</t>
  </si>
  <si>
    <t>Jar weight with liquid (kg)</t>
  </si>
  <si>
    <t>Liquid (l)</t>
  </si>
  <si>
    <t>Dead:alive in worst treatment</t>
  </si>
  <si>
    <t>Individuals/large jar (n)</t>
  </si>
  <si>
    <t>Individuals/small jar (n)</t>
  </si>
  <si>
    <t>Small jar weight w/ liquid (kg)</t>
  </si>
  <si>
    <t>Large jar weight w/ liquid (kg)</t>
  </si>
  <si>
    <t>Small jar liquid (l)</t>
  </si>
  <si>
    <t>Large jar liquid (l)</t>
  </si>
  <si>
    <t>Neonates/feeding (n)</t>
  </si>
  <si>
    <t>Neonates/mother/5 days (n)</t>
  </si>
  <si>
    <r>
      <rPr>
        <sz val="12"/>
        <color theme="1"/>
        <rFont val="Aptos Narrow"/>
        <scheme val="minor"/>
      </rPr>
      <t>Growth time</t>
    </r>
    <r>
      <rPr>
        <i/>
        <sz val="12"/>
        <color theme="1"/>
        <rFont val="Aptos Narrow"/>
        <scheme val="minor"/>
      </rPr>
      <t xml:space="preserve"> Microcystis aeruginosa</t>
    </r>
  </si>
  <si>
    <r>
      <rPr>
        <sz val="12"/>
        <color theme="1"/>
        <rFont val="Aptos Narrow"/>
        <scheme val="minor"/>
      </rPr>
      <t>Growth time</t>
    </r>
    <r>
      <rPr>
        <i/>
        <sz val="12"/>
        <color theme="1"/>
        <rFont val="Aptos Narrow"/>
        <scheme val="minor"/>
      </rPr>
      <t xml:space="preserve"> Synechococcus Elongatus</t>
    </r>
  </si>
  <si>
    <r>
      <rPr>
        <sz val="12"/>
        <color theme="1"/>
        <rFont val="Aptos Narrow"/>
        <scheme val="minor"/>
      </rPr>
      <t>Growth time</t>
    </r>
    <r>
      <rPr>
        <i/>
        <sz val="12"/>
        <color theme="1"/>
        <rFont val="Aptos Narrow"/>
        <scheme val="minor"/>
      </rPr>
      <t xml:space="preserve"> Nannochloropsis limnetica</t>
    </r>
  </si>
  <si>
    <r>
      <rPr>
        <sz val="12"/>
        <color theme="1"/>
        <rFont val="Aptos Narrow"/>
        <scheme val="minor"/>
      </rPr>
      <t>Growth time</t>
    </r>
    <r>
      <rPr>
        <i/>
        <sz val="12"/>
        <color theme="1"/>
        <rFont val="Aptos Narrow"/>
        <scheme val="minor"/>
      </rPr>
      <t xml:space="preserve"> Tetradesmus obliquus</t>
    </r>
  </si>
  <si>
    <t xml:space="preserve">Concentration at high density (mg C/L) </t>
  </si>
  <si>
    <t>Chaoborus 🦟</t>
  </si>
  <si>
    <t>Phytoplankton 🧪</t>
  </si>
  <si>
    <t>Total jars</t>
  </si>
  <si>
    <t>Weight per shelf (kg)</t>
  </si>
  <si>
    <t>Small jars (n)</t>
  </si>
  <si>
    <t>Daily volume of phytoplankton needed (l)</t>
  </si>
  <si>
    <t>Daphnia 🦐</t>
  </si>
  <si>
    <t>Analysis dry weight ⚖️</t>
  </si>
  <si>
    <t>Jar liquid 💧</t>
  </si>
  <si>
    <t>Infrastructure 🪜</t>
  </si>
  <si>
    <t>General 🌐</t>
  </si>
  <si>
    <t>Third instars needed for one measurement (n)</t>
  </si>
  <si>
    <t>Third instars needed total</t>
  </si>
  <si>
    <r>
      <t xml:space="preserve">Dry weight </t>
    </r>
    <r>
      <rPr>
        <i/>
        <sz val="12"/>
        <color theme="1"/>
        <rFont val="Aptos Narrow"/>
        <scheme val="minor"/>
      </rPr>
      <t xml:space="preserve">Daphnia magna </t>
    </r>
    <r>
      <rPr>
        <sz val="12"/>
        <color theme="1"/>
        <rFont val="Aptos Narrow"/>
        <family val="2"/>
        <scheme val="minor"/>
      </rPr>
      <t>adult</t>
    </r>
  </si>
  <si>
    <t>Large jars (n)</t>
  </si>
  <si>
    <t>Confidence</t>
  </si>
  <si>
    <t>High</t>
  </si>
  <si>
    <t>Low</t>
  </si>
  <si>
    <t>Medium</t>
  </si>
  <si>
    <t>high</t>
  </si>
  <si>
    <t>Test needed</t>
  </si>
  <si>
    <t xml:space="preserve">According to Jing we should run a test, as the detection of Microsystin in different tissues can depend on the kit itself and on the concentration of Microcystin in the tissues. </t>
  </si>
  <si>
    <t>Maybe</t>
  </si>
  <si>
    <t xml:space="preserve">This doesn't consider the phytoplankton. </t>
  </si>
  <si>
    <t>Carbon fed per day ad libitium (mg/L/day)</t>
  </si>
  <si>
    <t>Medium needed when changing it (l)</t>
  </si>
  <si>
    <t>Consider the fact I'm at my disposal (this exclude what Vana and Claudia need):</t>
  </si>
  <si>
    <t>100x 25 ml jars</t>
  </si>
  <si>
    <t>0x 1000 ml jars</t>
  </si>
  <si>
    <t>2x 5L bottles</t>
  </si>
  <si>
    <t>5x 2L bottles</t>
  </si>
  <si>
    <t>0 caps</t>
  </si>
  <si>
    <t>Based on female fourth instar eating 1.25 mm D. magna babies (Büns &amp; Ratte, 1991)</t>
  </si>
  <si>
    <t>Biodilution factor</t>
  </si>
  <si>
    <t>Based on a field study where toxins were detected with HPLC/PDA: Sotton, B., Guillard, J., Anneville, O., Maréchal, M., Savichtcheva, O., &amp; Domaizon, I. (2014). Trophic transfer of microcystins through the lake pelagic food web: Evidence for the role of zooplankton as a vector in fish contamination. Science of the Total Environment, 466, 152-163.</t>
  </si>
  <si>
    <t>Based on an experiment: Thostrup &amp; Christoffersen, 1999</t>
  </si>
  <si>
    <t>Based on the following experiment, where toxins were 0-7-7 mg/g DW: Long, B. M., Jones, G. J., &amp; Orr, P. T. (2001). Cellular microcystin content in N-limited Microcystis aeruginosa can be predicted from growth rate. Applied and Environmental Microbiology, 67(1), 278-283.</t>
  </si>
  <si>
    <t>Concentration microcystins (mg / g DW)</t>
  </si>
  <si>
    <t>Based on the fact it took 11 days to grow in the lab (5 ml in 2 L).</t>
  </si>
  <si>
    <t>Based on the fact it took 17 days to grow in the lab (2 ml in 2 L).</t>
  </si>
  <si>
    <t>IMPORTANT</t>
  </si>
  <si>
    <t>X</t>
  </si>
  <si>
    <t>Ratio low-quality food (M. aeruginosa / S. elongatus)</t>
  </si>
  <si>
    <t xml:space="preserve">I would go for 50% of both Microcystis and Synechococcus. Feeding Daphnia magna with 50% of Microcystis can keep cultures dense enough to perform experiment (Macke et al., 2017) but still have a negative effect (Schwarzenberger et al., 2012, 2013). Feeding Daphnia magna with 50% of Synechococcus can also keep cultures alive but still have a negative effect (Demott &amp; Müller-Navarra, 1997). </t>
  </si>
  <si>
    <t>They are originally 18, where 2 I'm giving to Claudia.</t>
  </si>
  <si>
    <t>Based on the fact that M. aeruginosa is the one that grows the worst and that in Thostrup &amp; Christophersen, 1999 grew up to 150, we use 50 to be conservative. Also, Vana told me that her T. obliquus grows at 28-150 mg C / L</t>
  </si>
  <si>
    <t>N of life stages</t>
  </si>
  <si>
    <t>Larvae and adults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</si>
</sst>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Times New Roman"/>
      <family val="1"/>
    </font>
    <font>
      <b/>
      <sz val="12"/>
      <color theme="1"/>
      <name val="Aptos Narrow"/>
      <scheme val="minor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6E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4" borderId="0" xfId="0" applyFont="1" applyFill="1"/>
    <xf numFmtId="0" fontId="3" fillId="4" borderId="0" xfId="0" applyFont="1" applyFill="1" applyAlignment="1">
      <alignment vertical="center"/>
    </xf>
    <xf numFmtId="164" fontId="3" fillId="4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0" fillId="4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/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6E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E79DF-B4E2-074C-B54B-B42BB19049C3}">
  <dimension ref="A1:K33"/>
  <sheetViews>
    <sheetView tabSelected="1" topLeftCell="A11" zoomScaleNormal="100" workbookViewId="0">
      <selection activeCell="C31" sqref="C31"/>
    </sheetView>
  </sheetViews>
  <sheetFormatPr baseColWidth="10" defaultRowHeight="16" x14ac:dyDescent="0.2"/>
  <cols>
    <col min="1" max="1" width="19.5" style="2" customWidth="1"/>
    <col min="2" max="2" width="44.1640625" style="2" bestFit="1" customWidth="1"/>
    <col min="3" max="3" width="12.1640625" style="2" bestFit="1" customWidth="1"/>
    <col min="4" max="4" width="10.5" style="2" bestFit="1" customWidth="1"/>
    <col min="5" max="5" width="10.5" style="1" customWidth="1"/>
    <col min="6" max="6" width="11" style="2" bestFit="1" customWidth="1"/>
    <col min="7" max="7" width="101.1640625" style="6" customWidth="1"/>
    <col min="8" max="8" width="10.83203125" style="2"/>
    <col min="9" max="9" width="12.6640625" style="2" bestFit="1" customWidth="1"/>
    <col min="10" max="10" width="35.33203125" style="2" bestFit="1" customWidth="1"/>
    <col min="11" max="11" width="10.83203125" style="2"/>
    <col min="12" max="12" width="255.83203125" style="2" bestFit="1" customWidth="1"/>
    <col min="13" max="16384" width="10.83203125" style="2"/>
  </cols>
  <sheetData>
    <row r="1" spans="1:11" ht="17" x14ac:dyDescent="0.2">
      <c r="A1" s="12" t="s">
        <v>3</v>
      </c>
      <c r="B1" s="12" t="s">
        <v>13</v>
      </c>
      <c r="C1" s="12" t="s">
        <v>14</v>
      </c>
      <c r="D1" s="12" t="s">
        <v>49</v>
      </c>
      <c r="E1" s="16" t="s">
        <v>74</v>
      </c>
      <c r="F1" s="12" t="s">
        <v>54</v>
      </c>
      <c r="G1" s="13" t="s">
        <v>2</v>
      </c>
    </row>
    <row r="2" spans="1:11" s="3" customFormat="1" x14ac:dyDescent="0.2">
      <c r="A2" s="18" t="s">
        <v>44</v>
      </c>
      <c r="B2" s="3" t="s">
        <v>0</v>
      </c>
      <c r="C2" s="3">
        <v>4</v>
      </c>
      <c r="D2" s="3" t="s">
        <v>50</v>
      </c>
      <c r="E2" s="14"/>
      <c r="H2" s="2"/>
      <c r="I2" s="2"/>
      <c r="J2" s="2"/>
      <c r="K2" s="6"/>
    </row>
    <row r="3" spans="1:11" s="3" customFormat="1" x14ac:dyDescent="0.2">
      <c r="A3" s="18"/>
      <c r="B3" s="3" t="s">
        <v>1</v>
      </c>
      <c r="C3" s="3">
        <v>4</v>
      </c>
      <c r="D3" s="3" t="s">
        <v>50</v>
      </c>
      <c r="E3" s="14"/>
      <c r="H3" s="2"/>
      <c r="I3" s="2"/>
      <c r="J3" s="2"/>
      <c r="K3" s="6"/>
    </row>
    <row r="4" spans="1:11" ht="17" x14ac:dyDescent="0.2">
      <c r="A4" s="20" t="s">
        <v>43</v>
      </c>
      <c r="B4" s="2" t="s">
        <v>9</v>
      </c>
      <c r="C4" s="2">
        <v>16</v>
      </c>
      <c r="D4" s="2" t="s">
        <v>50</v>
      </c>
      <c r="G4" s="6" t="s">
        <v>78</v>
      </c>
    </row>
    <row r="5" spans="1:11" x14ac:dyDescent="0.2">
      <c r="A5" s="20"/>
      <c r="B5" s="2" t="s">
        <v>12</v>
      </c>
      <c r="C5" s="2">
        <v>20</v>
      </c>
      <c r="D5" s="2" t="s">
        <v>50</v>
      </c>
    </row>
    <row r="6" spans="1:11" s="5" customFormat="1" x14ac:dyDescent="0.2">
      <c r="A6" s="19" t="s">
        <v>42</v>
      </c>
      <c r="B6" s="3" t="s">
        <v>25</v>
      </c>
      <c r="C6" s="3">
        <v>0.08</v>
      </c>
      <c r="D6" s="3" t="s">
        <v>50</v>
      </c>
      <c r="E6" s="14"/>
      <c r="F6" s="3"/>
      <c r="G6" s="4"/>
      <c r="H6" s="2"/>
      <c r="I6" s="2"/>
      <c r="J6" s="2"/>
      <c r="K6" s="2"/>
    </row>
    <row r="7" spans="1:11" s="5" customFormat="1" x14ac:dyDescent="0.2">
      <c r="A7" s="19"/>
      <c r="B7" s="3" t="s">
        <v>26</v>
      </c>
      <c r="C7" s="3">
        <v>0.8</v>
      </c>
      <c r="D7" s="3" t="s">
        <v>50</v>
      </c>
      <c r="E7" s="14"/>
      <c r="F7" s="3"/>
      <c r="G7" s="4"/>
      <c r="H7" s="2"/>
      <c r="I7" s="2"/>
      <c r="J7" s="2"/>
      <c r="K7" s="2"/>
    </row>
    <row r="8" spans="1:11" s="5" customFormat="1" ht="17" x14ac:dyDescent="0.2">
      <c r="A8" s="20" t="s">
        <v>34</v>
      </c>
      <c r="B8" s="3" t="s">
        <v>80</v>
      </c>
      <c r="C8" s="3">
        <v>2</v>
      </c>
      <c r="D8" s="3" t="s">
        <v>50</v>
      </c>
      <c r="E8" s="14"/>
      <c r="F8" s="3"/>
      <c r="G8" s="4" t="s">
        <v>81</v>
      </c>
      <c r="H8" s="2"/>
      <c r="I8" s="2"/>
      <c r="J8" s="2"/>
      <c r="K8" s="2"/>
    </row>
    <row r="9" spans="1:11" ht="34" x14ac:dyDescent="0.2">
      <c r="A9" s="20"/>
      <c r="B9" s="2" t="s">
        <v>17</v>
      </c>
      <c r="C9" s="2">
        <v>0.79</v>
      </c>
      <c r="D9" s="2" t="s">
        <v>50</v>
      </c>
      <c r="G9" s="6" t="s">
        <v>16</v>
      </c>
    </row>
    <row r="10" spans="1:11" x14ac:dyDescent="0.2">
      <c r="A10" s="20"/>
      <c r="B10" s="2" t="s">
        <v>19</v>
      </c>
      <c r="C10" s="2">
        <v>0.8</v>
      </c>
      <c r="D10" s="2" t="s">
        <v>50</v>
      </c>
    </row>
    <row r="11" spans="1:11" ht="17" x14ac:dyDescent="0.2">
      <c r="A11" s="20"/>
      <c r="B11" s="2" t="s">
        <v>18</v>
      </c>
      <c r="C11" s="2">
        <v>1.5</v>
      </c>
      <c r="D11" s="2" t="s">
        <v>50</v>
      </c>
      <c r="G11" s="6" t="s">
        <v>10</v>
      </c>
    </row>
    <row r="12" spans="1:11" x14ac:dyDescent="0.2">
      <c r="A12" s="20"/>
      <c r="B12" s="2" t="s">
        <v>20</v>
      </c>
      <c r="C12" s="2">
        <v>2</v>
      </c>
      <c r="D12" s="2" t="s">
        <v>52</v>
      </c>
      <c r="E12" s="1" t="s">
        <v>75</v>
      </c>
    </row>
    <row r="13" spans="1:11" ht="17" x14ac:dyDescent="0.2">
      <c r="A13" s="20"/>
      <c r="B13" s="2" t="s">
        <v>27</v>
      </c>
      <c r="C13" s="2">
        <v>20</v>
      </c>
      <c r="D13" s="2" t="s">
        <v>52</v>
      </c>
      <c r="E13" s="1" t="s">
        <v>75</v>
      </c>
      <c r="G13" s="6" t="s">
        <v>66</v>
      </c>
    </row>
    <row r="14" spans="1:11" ht="51" x14ac:dyDescent="0.2">
      <c r="A14" s="20"/>
      <c r="B14" s="2" t="s">
        <v>67</v>
      </c>
      <c r="C14" s="2">
        <v>5</v>
      </c>
      <c r="D14" s="2" t="s">
        <v>52</v>
      </c>
      <c r="G14" s="6" t="s">
        <v>68</v>
      </c>
    </row>
    <row r="15" spans="1:11" s="3" customFormat="1" x14ac:dyDescent="0.2">
      <c r="A15" s="19" t="s">
        <v>40</v>
      </c>
      <c r="B15" s="3" t="s">
        <v>21</v>
      </c>
      <c r="C15" s="3">
        <v>15</v>
      </c>
      <c r="D15" s="3" t="s">
        <v>50</v>
      </c>
      <c r="E15" s="14"/>
      <c r="G15" s="4"/>
      <c r="H15" s="2"/>
      <c r="I15" s="2"/>
      <c r="J15" s="2"/>
      <c r="K15" s="2"/>
    </row>
    <row r="16" spans="1:11" s="3" customFormat="1" x14ac:dyDescent="0.2">
      <c r="A16" s="19"/>
      <c r="B16" s="3" t="s">
        <v>22</v>
      </c>
      <c r="C16" s="3">
        <v>1</v>
      </c>
      <c r="D16" s="3" t="s">
        <v>50</v>
      </c>
      <c r="E16" s="14"/>
      <c r="G16" s="4"/>
      <c r="H16" s="2"/>
      <c r="I16" s="2"/>
      <c r="J16" s="2"/>
      <c r="K16" s="2"/>
    </row>
    <row r="17" spans="1:11" s="3" customFormat="1" ht="17" x14ac:dyDescent="0.2">
      <c r="A17" s="19"/>
      <c r="B17" s="3" t="s">
        <v>23</v>
      </c>
      <c r="C17" s="3">
        <v>0.2</v>
      </c>
      <c r="D17" s="3" t="s">
        <v>50</v>
      </c>
      <c r="E17" s="14"/>
      <c r="G17" s="4" t="s">
        <v>11</v>
      </c>
      <c r="H17" s="2"/>
      <c r="I17" s="2"/>
      <c r="J17" s="2"/>
      <c r="K17" s="2"/>
    </row>
    <row r="18" spans="1:11" s="3" customFormat="1" ht="17" x14ac:dyDescent="0.2">
      <c r="A18" s="19"/>
      <c r="B18" s="3" t="s">
        <v>24</v>
      </c>
      <c r="C18" s="3">
        <v>1.5</v>
      </c>
      <c r="D18" s="3" t="s">
        <v>53</v>
      </c>
      <c r="E18" s="14"/>
      <c r="G18" s="4" t="s">
        <v>10</v>
      </c>
      <c r="H18" s="2"/>
      <c r="I18" s="2"/>
      <c r="J18" s="2"/>
      <c r="K18" s="2"/>
    </row>
    <row r="19" spans="1:11" s="3" customFormat="1" x14ac:dyDescent="0.2">
      <c r="A19" s="19"/>
      <c r="B19" s="3" t="s">
        <v>58</v>
      </c>
      <c r="C19" s="3">
        <v>2</v>
      </c>
      <c r="D19" s="3" t="s">
        <v>50</v>
      </c>
      <c r="E19" s="14"/>
      <c r="G19" s="4"/>
      <c r="H19" s="2"/>
      <c r="I19" s="2"/>
      <c r="J19" s="2"/>
      <c r="K19" s="2"/>
    </row>
    <row r="20" spans="1:11" s="3" customFormat="1" x14ac:dyDescent="0.2">
      <c r="A20" s="19"/>
      <c r="B20" s="3" t="s">
        <v>28</v>
      </c>
      <c r="C20" s="3">
        <v>20</v>
      </c>
      <c r="D20" s="3" t="s">
        <v>52</v>
      </c>
      <c r="E20" s="14" t="s">
        <v>75</v>
      </c>
      <c r="G20" s="4"/>
      <c r="H20" s="2"/>
      <c r="I20" s="2"/>
      <c r="J20" s="2"/>
      <c r="K20" s="2"/>
    </row>
    <row r="21" spans="1:11" s="3" customFormat="1" ht="34" x14ac:dyDescent="0.2">
      <c r="A21" s="19"/>
      <c r="B21" s="3" t="s">
        <v>47</v>
      </c>
      <c r="C21" s="3">
        <v>0.18</v>
      </c>
      <c r="D21" s="3" t="s">
        <v>52</v>
      </c>
      <c r="E21" s="14"/>
      <c r="G21" s="4" t="s">
        <v>15</v>
      </c>
      <c r="H21" s="2"/>
      <c r="I21" s="2"/>
      <c r="J21" s="2"/>
      <c r="K21" s="2"/>
    </row>
    <row r="22" spans="1:11" s="3" customFormat="1" ht="17" x14ac:dyDescent="0.2">
      <c r="A22" s="14"/>
      <c r="B22" s="3" t="s">
        <v>67</v>
      </c>
      <c r="C22" s="3">
        <v>80</v>
      </c>
      <c r="D22" s="3" t="s">
        <v>52</v>
      </c>
      <c r="E22" s="14"/>
      <c r="G22" s="4" t="s">
        <v>69</v>
      </c>
      <c r="H22" s="2"/>
      <c r="I22" s="2"/>
      <c r="J22" s="2"/>
      <c r="K22" s="2"/>
    </row>
    <row r="23" spans="1:11" x14ac:dyDescent="0.2">
      <c r="A23" s="20" t="s">
        <v>35</v>
      </c>
      <c r="B23" s="15" t="s">
        <v>29</v>
      </c>
      <c r="C23" s="2">
        <v>14</v>
      </c>
      <c r="D23" s="2" t="s">
        <v>52</v>
      </c>
    </row>
    <row r="24" spans="1:11" ht="17" x14ac:dyDescent="0.2">
      <c r="A24" s="20"/>
      <c r="B24" s="15" t="s">
        <v>30</v>
      </c>
      <c r="C24" s="2">
        <v>14</v>
      </c>
      <c r="D24" s="2" t="s">
        <v>50</v>
      </c>
      <c r="G24" s="6" t="s">
        <v>72</v>
      </c>
    </row>
    <row r="25" spans="1:11" ht="17" x14ac:dyDescent="0.2">
      <c r="A25" s="20"/>
      <c r="B25" s="15" t="s">
        <v>31</v>
      </c>
      <c r="C25" s="2">
        <v>18</v>
      </c>
      <c r="D25" s="2" t="s">
        <v>50</v>
      </c>
      <c r="G25" s="6" t="s">
        <v>73</v>
      </c>
    </row>
    <row r="26" spans="1:11" x14ac:dyDescent="0.2">
      <c r="A26" s="20"/>
      <c r="B26" s="15" t="s">
        <v>32</v>
      </c>
      <c r="C26" s="2">
        <v>10</v>
      </c>
      <c r="D26" s="2" t="s">
        <v>50</v>
      </c>
    </row>
    <row r="27" spans="1:11" ht="34" x14ac:dyDescent="0.2">
      <c r="A27" s="20"/>
      <c r="B27" s="2" t="s">
        <v>33</v>
      </c>
      <c r="C27" s="2">
        <v>50</v>
      </c>
      <c r="D27" s="2" t="s">
        <v>51</v>
      </c>
      <c r="G27" s="6" t="s">
        <v>79</v>
      </c>
    </row>
    <row r="28" spans="1:11" ht="51" x14ac:dyDescent="0.2">
      <c r="A28" s="20"/>
      <c r="B28" s="2" t="s">
        <v>71</v>
      </c>
      <c r="C28" s="2">
        <v>1</v>
      </c>
      <c r="D28" s="2" t="s">
        <v>52</v>
      </c>
      <c r="G28" s="6" t="s">
        <v>70</v>
      </c>
    </row>
    <row r="29" spans="1:11" ht="68" x14ac:dyDescent="0.2">
      <c r="A29" s="20"/>
      <c r="B29" s="2" t="s">
        <v>76</v>
      </c>
      <c r="C29" s="2">
        <v>0.5</v>
      </c>
      <c r="D29" s="2" t="s">
        <v>50</v>
      </c>
      <c r="G29" s="6" t="s">
        <v>77</v>
      </c>
    </row>
    <row r="30" spans="1:11" s="3" customFormat="1" ht="34" x14ac:dyDescent="0.2">
      <c r="A30" s="19" t="s">
        <v>41</v>
      </c>
      <c r="B30" s="3" t="s">
        <v>6</v>
      </c>
      <c r="C30" s="3">
        <v>1</v>
      </c>
      <c r="D30" s="3" t="s">
        <v>51</v>
      </c>
      <c r="E30" s="14"/>
      <c r="F30" s="3" t="s">
        <v>56</v>
      </c>
      <c r="G30" s="4" t="s">
        <v>55</v>
      </c>
      <c r="H30" s="2"/>
      <c r="I30" s="2"/>
      <c r="J30" s="2"/>
      <c r="K30" s="2"/>
    </row>
    <row r="31" spans="1:11" s="3" customFormat="1" ht="17" x14ac:dyDescent="0.2">
      <c r="A31" s="19"/>
      <c r="B31" s="3" t="s">
        <v>7</v>
      </c>
      <c r="C31" s="3">
        <v>2</v>
      </c>
      <c r="D31" s="3" t="s">
        <v>50</v>
      </c>
      <c r="E31" s="14"/>
      <c r="G31" s="4" t="s">
        <v>4</v>
      </c>
      <c r="H31" s="2"/>
      <c r="I31" s="2"/>
      <c r="J31" s="2"/>
      <c r="K31" s="2"/>
    </row>
    <row r="32" spans="1:11" s="3" customFormat="1" ht="17" x14ac:dyDescent="0.2">
      <c r="A32" s="19"/>
      <c r="B32" s="3" t="s">
        <v>8</v>
      </c>
      <c r="C32" s="3">
        <v>1.5</v>
      </c>
      <c r="D32" s="3" t="s">
        <v>50</v>
      </c>
      <c r="E32" s="14"/>
      <c r="G32" s="4" t="s">
        <v>5</v>
      </c>
      <c r="H32" s="2"/>
      <c r="I32" s="2"/>
      <c r="J32" s="2"/>
      <c r="K32" s="2"/>
    </row>
    <row r="33" spans="1:1" x14ac:dyDescent="0.2">
      <c r="A33" s="1"/>
    </row>
  </sheetData>
  <mergeCells count="7">
    <mergeCell ref="A2:A3"/>
    <mergeCell ref="A30:A32"/>
    <mergeCell ref="A6:A7"/>
    <mergeCell ref="A15:A21"/>
    <mergeCell ref="A4:A5"/>
    <mergeCell ref="A23:A29"/>
    <mergeCell ref="A8:A14"/>
  </mergeCells>
  <conditionalFormatting sqref="A1:XFD1 A2:F3 A4:G4 B5:G5 B6:F8 G7:H8 B9:G11 B12:F12 B13:G14 A15:G15 B15:F16 B16:G22 A23:G23 B24:G32 A30:H30 B31:H32 G33:XFD33 A34:XFD1048576 K2:XFD3 H4:XFD5 A6 H6 M6:XFD26 A8 H9:H29 I27:XFD32">
    <cfRule type="containsText" dxfId="9" priority="5" operator="containsText" text="Not sure">
      <formula>NOT(ISERROR(SEARCH("Not sure",A1)))</formula>
    </cfRule>
  </conditionalFormatting>
  <conditionalFormatting sqref="B1:G1048576">
    <cfRule type="expression" dxfId="8" priority="1">
      <formula>$D1="medium"</formula>
    </cfRule>
    <cfRule type="expression" dxfId="7" priority="2">
      <formula>$D1="low"</formula>
    </cfRule>
    <cfRule type="expression" dxfId="6" priority="3">
      <formula>$D1="high"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047AD-BF87-3244-905E-319FD9E8CD8C}">
  <dimension ref="A1:D18"/>
  <sheetViews>
    <sheetView zoomScale="130" zoomScaleNormal="130" workbookViewId="0">
      <selection activeCell="C4" sqref="C4"/>
    </sheetView>
  </sheetViews>
  <sheetFormatPr baseColWidth="10" defaultRowHeight="16" x14ac:dyDescent="0.2"/>
  <cols>
    <col min="1" max="1" width="14.83203125" style="7" bestFit="1" customWidth="1"/>
    <col min="2" max="2" width="38.1640625" style="7" bestFit="1" customWidth="1"/>
    <col min="3" max="3" width="10.6640625" style="7" customWidth="1"/>
    <col min="4" max="4" width="177.33203125" style="7" customWidth="1"/>
    <col min="5" max="16384" width="10.83203125" style="7"/>
  </cols>
  <sheetData>
    <row r="1" spans="1:4" x14ac:dyDescent="0.2">
      <c r="A1" s="17" t="s">
        <v>3</v>
      </c>
      <c r="B1" s="17" t="s">
        <v>13</v>
      </c>
      <c r="C1" s="17" t="s">
        <v>14</v>
      </c>
      <c r="D1" s="17" t="s">
        <v>2</v>
      </c>
    </row>
    <row r="2" spans="1:4" s="9" customFormat="1" x14ac:dyDescent="0.2">
      <c r="A2" s="22" t="s">
        <v>44</v>
      </c>
      <c r="B2" s="9" t="s">
        <v>37</v>
      </c>
      <c r="C2" s="9">
        <f>ROUNDUP(((Jar_Chaoborus_weight_kg*Jars_Chaoborus) + (Jar_small_Daphnia_weight_kg*Jars_small_Daphnia)+(Jar_large_Daphnia_weight_kg*Jars_big_Daphnia))/Shelves, 0)</f>
        <v>4</v>
      </c>
      <c r="D2" s="9" t="s">
        <v>57</v>
      </c>
    </row>
    <row r="3" spans="1:4" s="9" customFormat="1" x14ac:dyDescent="0.2">
      <c r="A3" s="22"/>
      <c r="B3" s="9" t="s">
        <v>36</v>
      </c>
      <c r="C3" s="9">
        <f>Jars_Chaoborus+Jars_small_Daphnia+Jars_big_Daphnia</f>
        <v>209</v>
      </c>
    </row>
    <row r="4" spans="1:4" x14ac:dyDescent="0.2">
      <c r="A4" s="21" t="s">
        <v>34</v>
      </c>
      <c r="B4" s="7" t="s">
        <v>45</v>
      </c>
      <c r="C4" s="7">
        <f>ROUNDUP(((Biomass_needed_for_toxins_mg+Biomass_needed_for_lipids_mg+Biomass_needed_for_stoichiometry_mg)/Chaoborus_third_instar_dry_weight_mg)*Dead_alive_ratio_Chaoborus_worst_treatment,0)</f>
        <v>12</v>
      </c>
    </row>
    <row r="5" spans="1:4" x14ac:dyDescent="0.2">
      <c r="A5" s="21"/>
      <c r="B5" s="7" t="s">
        <v>46</v>
      </c>
      <c r="C5" s="7">
        <f>Chaoborus_one_measurement*Treatments*Replicates</f>
        <v>192</v>
      </c>
    </row>
    <row r="6" spans="1:4" x14ac:dyDescent="0.2">
      <c r="A6" s="21"/>
      <c r="B6" s="7" t="s">
        <v>36</v>
      </c>
      <c r="C6" s="7">
        <f>Treatments*Replicates</f>
        <v>16</v>
      </c>
    </row>
    <row r="7" spans="1:4" s="9" customFormat="1" x14ac:dyDescent="0.2">
      <c r="A7" s="22" t="s">
        <v>40</v>
      </c>
      <c r="B7" s="9" t="s">
        <v>38</v>
      </c>
      <c r="C7" s="9">
        <f>ROUNDUP(Chaoborus_total/(Daphnia_neonates_born_per_5_days/Daphnia_neonates_per_feeding), 0)</f>
        <v>192</v>
      </c>
    </row>
    <row r="8" spans="1:4" s="9" customFormat="1" x14ac:dyDescent="0.2">
      <c r="A8" s="22"/>
      <c r="B8" s="9" t="s">
        <v>48</v>
      </c>
      <c r="C8" s="9">
        <f>ROUNDUP((Jars_small_Daphnia/(Daphnia_per_large_jar*Daphnia_neonates_born_per_5_days)), 0)</f>
        <v>1</v>
      </c>
    </row>
    <row r="9" spans="1:4" s="9" customFormat="1" x14ac:dyDescent="0.2">
      <c r="A9" s="22"/>
      <c r="B9" s="9" t="s">
        <v>39</v>
      </c>
      <c r="C9" s="11">
        <f>(Daphnia_total_medium_l*Phyto_C_to_Daphnia_mg_per_l)/Phytoplankton_concentration_mgC_l</f>
        <v>0.61439999999999995</v>
      </c>
    </row>
    <row r="10" spans="1:4" s="9" customFormat="1" x14ac:dyDescent="0.2">
      <c r="A10" s="22"/>
      <c r="B10" s="10" t="s">
        <v>59</v>
      </c>
      <c r="C10" s="9">
        <f>(Jars_small_Daphnia*Jars_small_Daphnia_l)</f>
        <v>15.36</v>
      </c>
    </row>
    <row r="11" spans="1:4" x14ac:dyDescent="0.2">
      <c r="A11" s="20" t="s">
        <v>35</v>
      </c>
    </row>
    <row r="12" spans="1:4" x14ac:dyDescent="0.2">
      <c r="A12" s="20"/>
    </row>
    <row r="13" spans="1:4" x14ac:dyDescent="0.2">
      <c r="A13" s="20"/>
    </row>
    <row r="14" spans="1:4" x14ac:dyDescent="0.2">
      <c r="A14" s="20"/>
    </row>
    <row r="15" spans="1:4" x14ac:dyDescent="0.2">
      <c r="A15" s="20"/>
    </row>
    <row r="16" spans="1:4" x14ac:dyDescent="0.2">
      <c r="A16" s="8"/>
    </row>
    <row r="17" spans="1:1" x14ac:dyDescent="0.2">
      <c r="A17" s="8"/>
    </row>
    <row r="18" spans="1:1" x14ac:dyDescent="0.2">
      <c r="A18" s="8"/>
    </row>
  </sheetData>
  <mergeCells count="4">
    <mergeCell ref="A4:A6"/>
    <mergeCell ref="A7:A10"/>
    <mergeCell ref="A2:A3"/>
    <mergeCell ref="A11:A15"/>
  </mergeCells>
  <conditionalFormatting sqref="A11">
    <cfRule type="containsText" dxfId="5" priority="1" operator="containsText" text="Not sure">
      <formula>NOT(ISERROR(SEARCH("Not sure",A11)))</formula>
    </cfRule>
  </conditionalFormatting>
  <conditionalFormatting sqref="A17">
    <cfRule type="containsText" dxfId="4" priority="2" operator="containsText" text="Not sure">
      <formula>NOT(ISERROR(SEARCH("Not sure",A17)))</formula>
    </cfRule>
  </conditionalFormatting>
  <conditionalFormatting sqref="C2">
    <cfRule type="cellIs" dxfId="3" priority="5" operator="lessThan">
      <formula>20</formula>
    </cfRule>
    <cfRule type="cellIs" dxfId="2" priority="6" operator="greaterThan">
      <formula>20</formula>
    </cfRule>
  </conditionalFormatting>
  <conditionalFormatting sqref="C3">
    <cfRule type="cellIs" dxfId="1" priority="3" operator="lessThan">
      <formula>700</formula>
    </cfRule>
    <cfRule type="cellIs" dxfId="0" priority="4" operator="greaterThan">
      <formula>700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780D0-A256-1148-895C-2A54CD379D6B}">
  <dimension ref="A1:A11"/>
  <sheetViews>
    <sheetView zoomScale="150" zoomScaleNormal="150" workbookViewId="0">
      <selection activeCell="D13" sqref="D13"/>
    </sheetView>
  </sheetViews>
  <sheetFormatPr baseColWidth="10" defaultRowHeight="16" x14ac:dyDescent="0.2"/>
  <cols>
    <col min="1" max="1" width="65.83203125" bestFit="1" customWidth="1"/>
  </cols>
  <sheetData>
    <row r="1" spans="1:1" x14ac:dyDescent="0.2">
      <c r="A1" t="s">
        <v>60</v>
      </c>
    </row>
    <row r="3" spans="1:1" x14ac:dyDescent="0.2">
      <c r="A3" t="s">
        <v>61</v>
      </c>
    </row>
    <row r="5" spans="1:1" x14ac:dyDescent="0.2">
      <c r="A5" t="s">
        <v>62</v>
      </c>
    </row>
    <row r="7" spans="1:1" x14ac:dyDescent="0.2">
      <c r="A7" t="s">
        <v>63</v>
      </c>
    </row>
    <row r="9" spans="1:1" x14ac:dyDescent="0.2">
      <c r="A9" t="s">
        <v>64</v>
      </c>
    </row>
    <row r="11" spans="1:1" x14ac:dyDescent="0.2">
      <c r="A1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40</vt:i4>
      </vt:variant>
    </vt:vector>
  </HeadingPairs>
  <TitlesOfParts>
    <vt:vector size="43" baseType="lpstr">
      <vt:lpstr>Assumptions</vt:lpstr>
      <vt:lpstr>Derived values</vt:lpstr>
      <vt:lpstr>Material availbale</vt:lpstr>
      <vt:lpstr>Biomass_for_lipids_mg</vt:lpstr>
      <vt:lpstr>Biomass_for_stoichiometry_mg</vt:lpstr>
      <vt:lpstr>Biomass_for_toxins_mg</vt:lpstr>
      <vt:lpstr>Biomass_needed_for_lipids_mg</vt:lpstr>
      <vt:lpstr>Biomass_needed_for_stoichiometry_mg</vt:lpstr>
      <vt:lpstr>Biomass_needed_for_toxins_mg</vt:lpstr>
      <vt:lpstr>Chaoborus_medium_l</vt:lpstr>
      <vt:lpstr>Chaoborus_one_measurement</vt:lpstr>
      <vt:lpstr>Chaoborus_one_time_point</vt:lpstr>
      <vt:lpstr>Chaoborus_third_instar_dry_weight_mg</vt:lpstr>
      <vt:lpstr>Chaoborus_total</vt:lpstr>
      <vt:lpstr>Daphnia_dry_weight_mg</vt:lpstr>
      <vt:lpstr>Daphnia_large_jar_medium_l</vt:lpstr>
      <vt:lpstr>Daphnia_neonates_born_per_5_days</vt:lpstr>
      <vt:lpstr>Daphnia_neonates_per_feeding</vt:lpstr>
      <vt:lpstr>Daphnia_per_large_jar</vt:lpstr>
      <vt:lpstr>Daphnia_per_small_jar</vt:lpstr>
      <vt:lpstr>Daphnia_small_jar_medium_l</vt:lpstr>
      <vt:lpstr>Daphnia_total_medium_l</vt:lpstr>
      <vt:lpstr>Dead_alive_ratio_Chaoborus_worst_treatment</vt:lpstr>
      <vt:lpstr>Growth_time_M_aeruginosa_days</vt:lpstr>
      <vt:lpstr>Growth_time_N_limnetica_days</vt:lpstr>
      <vt:lpstr>Growth_time_S_elongatus_days</vt:lpstr>
      <vt:lpstr>Growth_time_T_obliquus_days</vt:lpstr>
      <vt:lpstr>Jar_Chaoborus_weight_kg</vt:lpstr>
      <vt:lpstr>Jar_large_Daphnia_weight_kg</vt:lpstr>
      <vt:lpstr>Jar_small_Daphnia_weight_kg</vt:lpstr>
      <vt:lpstr>Jars_big_Daphnia</vt:lpstr>
      <vt:lpstr>Jars_Chaoborus</vt:lpstr>
      <vt:lpstr>Jars_small_Daphnia</vt:lpstr>
      <vt:lpstr>Jars_small_Daphnia_l</vt:lpstr>
      <vt:lpstr>Jars_total</vt:lpstr>
      <vt:lpstr>n_life_stages</vt:lpstr>
      <vt:lpstr>Phyto_C_to_Daphnia_mg_per_l</vt:lpstr>
      <vt:lpstr>Phytoplankton_concentration_mgC_l</vt:lpstr>
      <vt:lpstr>Replicates</vt:lpstr>
      <vt:lpstr>Shelves</vt:lpstr>
      <vt:lpstr>Shelves_max_weight</vt:lpstr>
      <vt:lpstr>Treatments</vt:lpstr>
      <vt:lpstr>Weight_per_shelf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Emanuele Giacomuzzo</dc:creator>
  <cp:lastModifiedBy>Emanuele Giacomuzzo</cp:lastModifiedBy>
  <dcterms:created xsi:type="dcterms:W3CDTF">2026-01-08T12:44:42Z</dcterms:created>
  <dcterms:modified xsi:type="dcterms:W3CDTF">2026-04-28T11:23:11Z</dcterms:modified>
</cp:coreProperties>
</file>