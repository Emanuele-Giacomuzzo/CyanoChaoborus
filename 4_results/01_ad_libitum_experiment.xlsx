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rjf409/Library/Mobile Documents/com~apple~CloudDocs/Github/CyanoChaoborus/4_results/"/>
    </mc:Choice>
  </mc:AlternateContent>
  <xr:revisionPtr revIDLastSave="0" documentId="13_ncr:1_{CBB20411-9E9F-497B-96DB-CAE8B7B60F42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Data" sheetId="1" r:id="rId1"/>
    <sheet name="Summary" sheetId="2" r:id="rId2"/>
    <sheet name="Planilha1" sheetId="3" r:id="rId3"/>
  </sheets>
  <definedNames>
    <definedName name="_xlnm._FilterDatabase" localSheetId="0" hidden="1">Data!$A$4:$K$16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5" i="1" l="1"/>
  <c r="K5" i="1" s="1"/>
  <c r="B5" i="3" s="1"/>
  <c r="A24" i="3"/>
  <c r="A23" i="3"/>
  <c r="A22" i="3"/>
  <c r="A21" i="3"/>
  <c r="A16" i="3"/>
  <c r="A15" i="3"/>
  <c r="A14" i="3"/>
  <c r="A13" i="3"/>
  <c r="A8" i="3"/>
  <c r="A7" i="3"/>
  <c r="A6" i="3"/>
  <c r="A5" i="3"/>
  <c r="B7" i="2"/>
  <c r="B6" i="2"/>
  <c r="B5" i="2"/>
  <c r="J16" i="1"/>
  <c r="I16" i="1"/>
  <c r="K16" i="1" s="1"/>
  <c r="B24" i="3" s="1"/>
  <c r="J15" i="1"/>
  <c r="I15" i="1"/>
  <c r="J14" i="1"/>
  <c r="I14" i="1"/>
  <c r="C7" i="2" s="1"/>
  <c r="J13" i="1"/>
  <c r="G7" i="2" s="1"/>
  <c r="I13" i="1"/>
  <c r="J12" i="1"/>
  <c r="I12" i="1"/>
  <c r="K12" i="1" s="1"/>
  <c r="B16" i="3" s="1"/>
  <c r="J11" i="1"/>
  <c r="I11" i="1"/>
  <c r="J10" i="1"/>
  <c r="G6" i="2" s="1"/>
  <c r="I10" i="1"/>
  <c r="C6" i="2" s="1"/>
  <c r="J9" i="1"/>
  <c r="I9" i="1"/>
  <c r="J8" i="1"/>
  <c r="I8" i="1"/>
  <c r="K8" i="1" s="1"/>
  <c r="B8" i="3" s="1"/>
  <c r="J7" i="1"/>
  <c r="I7" i="1"/>
  <c r="C5" i="2" s="1"/>
  <c r="J6" i="1"/>
  <c r="I6" i="1"/>
  <c r="J5" i="1"/>
  <c r="G5" i="2" l="1"/>
  <c r="K9" i="1"/>
  <c r="K7" i="1"/>
  <c r="B7" i="3" s="1"/>
  <c r="K11" i="1"/>
  <c r="B15" i="3" s="1"/>
  <c r="K15" i="1"/>
  <c r="B23" i="3" s="1"/>
  <c r="D5" i="2"/>
  <c r="K6" i="1"/>
  <c r="B6" i="3" s="1"/>
  <c r="D7" i="2"/>
  <c r="E6" i="2"/>
  <c r="B13" i="3"/>
  <c r="K10" i="1"/>
  <c r="B14" i="3" s="1"/>
  <c r="K13" i="1"/>
  <c r="D6" i="2"/>
  <c r="K14" i="1"/>
  <c r="B22" i="3" s="1"/>
  <c r="F5" i="2" l="1"/>
  <c r="E5" i="2"/>
  <c r="C14" i="3"/>
  <c r="C16" i="3"/>
  <c r="C13" i="3"/>
  <c r="C15" i="3"/>
  <c r="B21" i="3"/>
  <c r="F7" i="2"/>
  <c r="E7" i="2"/>
  <c r="F6" i="2"/>
  <c r="C24" i="3" l="1"/>
  <c r="C21" i="3"/>
  <c r="C23" i="3"/>
  <c r="C22" i="3"/>
  <c r="C8" i="3"/>
  <c r="C5" i="3"/>
  <c r="C7" i="3"/>
  <c r="C6" i="3"/>
</calcChain>
</file>

<file path=xl/sharedStrings.xml><?xml version="1.0" encoding="utf-8"?>
<sst xmlns="http://schemas.openxmlformats.org/spreadsheetml/2006/main" count="64" uniqueCount="44">
  <si>
    <t>Predation experiment — replicate data</t>
  </si>
  <si>
    <t>Start date: 24/09/2026 | End date: 25/09/2026 | Observed consumption = initial prey − final prey</t>
  </si>
  <si>
    <t>Treatment</t>
  </si>
  <si>
    <t>Sample</t>
  </si>
  <si>
    <t>Start date</t>
  </si>
  <si>
    <t>Start time</t>
  </si>
  <si>
    <t>Initial prey</t>
  </si>
  <si>
    <t>End date</t>
  </si>
  <si>
    <t>End time</t>
  </si>
  <si>
    <t>Final prey</t>
  </si>
  <si>
    <t>Observed consumption</t>
  </si>
  <si>
    <t>Duration (h)</t>
  </si>
  <si>
    <t>24-h estimate</t>
  </si>
  <si>
    <t>S</t>
  </si>
  <si>
    <t>S1</t>
  </si>
  <si>
    <t>S2</t>
  </si>
  <si>
    <t>S3</t>
  </si>
  <si>
    <t>S4</t>
  </si>
  <si>
    <t>M</t>
  </si>
  <si>
    <t>M1</t>
  </si>
  <si>
    <t>M2</t>
  </si>
  <si>
    <t>M3</t>
  </si>
  <si>
    <t>M4</t>
  </si>
  <si>
    <t>L</t>
  </si>
  <si>
    <t>L1</t>
  </si>
  <si>
    <t>L2</t>
  </si>
  <si>
    <t>L3</t>
  </si>
  <si>
    <t>L4</t>
  </si>
  <si>
    <t>Statistical summary by treatment</t>
  </si>
  <si>
    <t>n</t>
  </si>
  <si>
    <t>Mean observed consumption</t>
  </si>
  <si>
    <t>SD observed consumption</t>
  </si>
  <si>
    <t>Mean estimated in 24 h</t>
  </si>
  <si>
    <t>SD 24-h estimate</t>
  </si>
  <si>
    <t>Mean duration (h)</t>
  </si>
  <si>
    <t>Estimated prey consumption in 24 hours — by treatment</t>
  </si>
  <si>
    <t>Treatment S</t>
  </si>
  <si>
    <t>Treatment mean</t>
  </si>
  <si>
    <t>Treatment M</t>
  </si>
  <si>
    <t>Treatment L</t>
  </si>
  <si>
    <t>Means and standard deviations were calculated across the four replicates in each treatment. For “estimated in 24 h,” each replicate was normalized to a 24-hour periodd</t>
  </si>
  <si>
    <t>Sample standard deviation (n−1). The 24-h estimates adjust for small differences in trial duration</t>
  </si>
  <si>
    <t>Adjustment: actual duration was calculated from the start and end date/time; the 24-h estimate normalizes observed consumption to 24 hours (consumption × 24 ÷ duration in hours)</t>
  </si>
  <si>
    <t>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</si>
</sst>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5"/>
      <color rgb="FFFFFFFF"/>
      <name val="Cambria"/>
      <family val="1"/>
    </font>
    <font>
      <i/>
      <sz val="10"/>
      <color rgb="FF404040"/>
      <name val="Cambria"/>
      <family val="1"/>
    </font>
    <font>
      <b/>
      <sz val="11"/>
      <color rgb="FFFFFFFF"/>
      <name val="Cambria"/>
      <family val="1"/>
    </font>
    <font>
      <b/>
      <sz val="12"/>
      <color rgb="FF17365D"/>
      <name val="Cambria"/>
      <family val="1"/>
    </font>
    <font>
      <sz val="10"/>
      <color rgb="FF404040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1F4E78"/>
        <bgColor rgb="FF17365D"/>
      </patternFill>
    </fill>
    <fill>
      <patternFill patternType="solid">
        <fgColor rgb="FFFFFFFF"/>
        <bgColor rgb="FFF9F9F9"/>
      </patternFill>
    </fill>
    <fill>
      <patternFill patternType="solid">
        <fgColor rgb="FFF4F8FC"/>
        <bgColor rgb="FFF9F9F9"/>
      </patternFill>
    </fill>
    <fill>
      <patternFill patternType="solid">
        <fgColor rgb="FFFCE4D6"/>
        <bgColor rgb="FFF9F9F9"/>
      </patternFill>
    </fill>
    <fill>
      <patternFill patternType="solid">
        <fgColor rgb="FF0F6B78"/>
        <bgColor rgb="FF00808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20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20" fontId="0" fillId="5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0" fontId="4" fillId="0" borderId="0" xfId="0" applyFont="1"/>
    <xf numFmtId="0" fontId="3" fillId="7" borderId="0" xfId="0" applyFont="1" applyFill="1"/>
    <xf numFmtId="0" fontId="0" fillId="7" borderId="0" xfId="0" applyFill="1"/>
    <xf numFmtId="0" fontId="3" fillId="3" borderId="0" xfId="0" applyFont="1" applyFill="1" applyAlignment="1">
      <alignment horizontal="center"/>
    </xf>
    <xf numFmtId="2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wrapText="1"/>
    </xf>
    <xf numFmtId="0" fontId="5" fillId="6" borderId="0" xfId="0" applyFont="1" applyFill="1" applyAlignment="1">
      <alignment vertical="center" wrapText="1"/>
    </xf>
    <xf numFmtId="0" fontId="5" fillId="0" borderId="0" xfId="0" applyFont="1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B78"/>
      <rgbColor rgb="FFC0C0C0"/>
      <rgbColor rgb="FF878787"/>
      <rgbColor rgb="FF9999FF"/>
      <rgbColor rgb="FF993366"/>
      <rgbColor rgb="FFF9F9F9"/>
      <rgbColor rgb="FFF4F8F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CE4D6"/>
      <rgbColor rgb="FF4F81BD"/>
      <rgbColor rgb="FF33CCCC"/>
      <rgbColor rgb="FF99CC00"/>
      <rgbColor rgb="FFFFCC00"/>
      <rgbColor rgb="FFFF9900"/>
      <rgbColor rgb="FFED7D31"/>
      <rgbColor rgb="FF595959"/>
      <rgbColor rgb="FFA5A5A5"/>
      <rgbColor rgb="FF17365D"/>
      <rgbColor rgb="FF70AD47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Treatment 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Planilha1!$B$4</c:f>
              <c:strCache>
                <c:ptCount val="1"/>
                <c:pt idx="0">
                  <c:v>24-h estimate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cat>
            <c:strRef>
              <c:f>Planilha1!$A$5:$A$8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Planilha1!$B$5:$B$8</c:f>
              <c:numCache>
                <c:formatCode>0.00</c:formatCode>
                <c:ptCount val="4"/>
                <c:pt idx="0">
                  <c:v>33.260869565227914</c:v>
                </c:pt>
                <c:pt idx="1">
                  <c:v>39.891891891766377</c:v>
                </c:pt>
                <c:pt idx="2">
                  <c:v>18.350100603638925</c:v>
                </c:pt>
                <c:pt idx="3">
                  <c:v>21.204819277138174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62-4963-94C4-B9E8F68AAD93}"/>
            </c:ext>
          </c:extLst>
        </c:ser>
        <c:ser>
          <c:idx val="1"/>
          <c:order val="1"/>
          <c:tx>
            <c:strRef>
              <c:f>Planilha1!$C$4</c:f>
              <c:strCache>
                <c:ptCount val="1"/>
                <c:pt idx="0">
                  <c:v>Treatment mean</c:v>
                </c:pt>
              </c:strCache>
            </c:strRef>
          </c:tx>
          <c:spPr>
            <a:solidFill>
              <a:srgbClr val="A5A5A5"/>
            </a:solidFill>
            <a:ln w="9360">
              <a:solidFill>
                <a:srgbClr val="595959"/>
              </a:solidFill>
              <a:round/>
            </a:ln>
          </c:spPr>
          <c:invertIfNegative val="0"/>
          <c:cat>
            <c:strRef>
              <c:f>Planilha1!$A$5:$A$8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Planilha1!$C$5:$C$8</c:f>
              <c:numCache>
                <c:formatCode>0.00</c:formatCode>
                <c:ptCount val="4"/>
                <c:pt idx="0">
                  <c:v>28.176920334442844</c:v>
                </c:pt>
                <c:pt idx="1">
                  <c:v>28.176920334442844</c:v>
                </c:pt>
                <c:pt idx="2">
                  <c:v>28.176920334442844</c:v>
                </c:pt>
                <c:pt idx="3">
                  <c:v>28.176920334442844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62-4963-94C4-B9E8F68AA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505624"/>
        <c:axId val="96236441"/>
      </c:barChart>
      <c:catAx>
        <c:axId val="445056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Replicate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6236441"/>
        <c:crosses val="autoZero"/>
        <c:auto val="1"/>
        <c:lblAlgn val="ctr"/>
        <c:lblOffset val="100"/>
        <c:noMultiLvlLbl val="0"/>
      </c:catAx>
      <c:valAx>
        <c:axId val="962364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Estimated prey / 24 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4450562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Treatment 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Planilha1!$B$12</c:f>
              <c:strCache>
                <c:ptCount val="1"/>
                <c:pt idx="0">
                  <c:v>24-h estimate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cat>
            <c:strRef>
              <c:f>Planilha1!$A$13:$A$16</c:f>
              <c:strCache>
                <c:ptCount val="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</c:strCache>
            </c:strRef>
          </c:cat>
          <c:val>
            <c:numRef>
              <c:f>Planilha1!$B$13:$B$16</c:f>
              <c:numCache>
                <c:formatCode>0.00</c:formatCode>
                <c:ptCount val="4"/>
                <c:pt idx="0">
                  <c:v>18.362416107439937</c:v>
                </c:pt>
                <c:pt idx="1">
                  <c:v>44.970099667704517</c:v>
                </c:pt>
                <c:pt idx="2">
                  <c:v>22.065289806798891</c:v>
                </c:pt>
                <c:pt idx="3">
                  <c:v>27.914438502591253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0B-4757-AF40-9E94CCFEE7EF}"/>
            </c:ext>
          </c:extLst>
        </c:ser>
        <c:ser>
          <c:idx val="1"/>
          <c:order val="1"/>
          <c:tx>
            <c:strRef>
              <c:f>Planilha1!$C$12</c:f>
              <c:strCache>
                <c:ptCount val="1"/>
                <c:pt idx="0">
                  <c:v>Treatment mean</c:v>
                </c:pt>
              </c:strCache>
            </c:strRef>
          </c:tx>
          <c:spPr>
            <a:solidFill>
              <a:srgbClr val="A5A5A5"/>
            </a:solidFill>
            <a:ln w="9360">
              <a:solidFill>
                <a:srgbClr val="595959"/>
              </a:solidFill>
              <a:round/>
            </a:ln>
          </c:spPr>
          <c:invertIfNegative val="0"/>
          <c:cat>
            <c:strRef>
              <c:f>Planilha1!$A$13:$A$16</c:f>
              <c:strCache>
                <c:ptCount val="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</c:strCache>
            </c:strRef>
          </c:cat>
          <c:val>
            <c:numRef>
              <c:f>Planilha1!$C$13:$C$16</c:f>
              <c:numCache>
                <c:formatCode>0.00</c:formatCode>
                <c:ptCount val="4"/>
                <c:pt idx="0">
                  <c:v>28.328061021133649</c:v>
                </c:pt>
                <c:pt idx="1">
                  <c:v>28.328061021133649</c:v>
                </c:pt>
                <c:pt idx="2">
                  <c:v>28.328061021133649</c:v>
                </c:pt>
                <c:pt idx="3">
                  <c:v>28.328061021133649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0B-4757-AF40-9E94CCFEE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831567"/>
        <c:axId val="40248981"/>
      </c:barChart>
      <c:catAx>
        <c:axId val="488315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Replicate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40248981"/>
        <c:crosses val="autoZero"/>
        <c:auto val="1"/>
        <c:lblAlgn val="ctr"/>
        <c:lblOffset val="100"/>
        <c:noMultiLvlLbl val="0"/>
      </c:catAx>
      <c:valAx>
        <c:axId val="402489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Estimated prey / 24 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4883156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Treatment 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Planilha1!$B$20</c:f>
              <c:strCache>
                <c:ptCount val="1"/>
                <c:pt idx="0">
                  <c:v>24-h estimate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cat>
            <c:strRef>
              <c:f>Planilha1!$A$21:$A$24</c:f>
              <c:strCache>
                <c:ptCount val="4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</c:strCache>
            </c:strRef>
          </c:cat>
          <c:val>
            <c:numRef>
              <c:f>Planilha1!$B$21:$B$24</c:f>
              <c:numCache>
                <c:formatCode>0.00</c:formatCode>
                <c:ptCount val="4"/>
                <c:pt idx="0">
                  <c:v>44.486232370642085</c:v>
                </c:pt>
                <c:pt idx="1">
                  <c:v>34.838709677435709</c:v>
                </c:pt>
                <c:pt idx="2">
                  <c:v>49.454545454545453</c:v>
                </c:pt>
                <c:pt idx="3">
                  <c:v>49.688768606287248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AA-41B0-9D70-F67E01C54E5E}"/>
            </c:ext>
          </c:extLst>
        </c:ser>
        <c:ser>
          <c:idx val="1"/>
          <c:order val="1"/>
          <c:tx>
            <c:strRef>
              <c:f>Planilha1!$C$20</c:f>
              <c:strCache>
                <c:ptCount val="1"/>
                <c:pt idx="0">
                  <c:v>Treatment mean</c:v>
                </c:pt>
              </c:strCache>
            </c:strRef>
          </c:tx>
          <c:spPr>
            <a:solidFill>
              <a:srgbClr val="A5A5A5"/>
            </a:solidFill>
            <a:ln w="9360">
              <a:solidFill>
                <a:srgbClr val="595959"/>
              </a:solidFill>
              <a:round/>
            </a:ln>
          </c:spPr>
          <c:invertIfNegative val="0"/>
          <c:cat>
            <c:strRef>
              <c:f>Planilha1!$A$21:$A$24</c:f>
              <c:strCache>
                <c:ptCount val="4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</c:strCache>
            </c:strRef>
          </c:cat>
          <c:val>
            <c:numRef>
              <c:f>Planilha1!$C$21:$C$24</c:f>
              <c:numCache>
                <c:formatCode>0.00</c:formatCode>
                <c:ptCount val="4"/>
                <c:pt idx="0">
                  <c:v>44.61706402722762</c:v>
                </c:pt>
                <c:pt idx="1">
                  <c:v>44.61706402722762</c:v>
                </c:pt>
                <c:pt idx="2">
                  <c:v>44.61706402722762</c:v>
                </c:pt>
                <c:pt idx="3">
                  <c:v>44.61706402722762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AA-41B0-9D70-F67E01C54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762767"/>
        <c:axId val="82219874"/>
      </c:barChart>
      <c:catAx>
        <c:axId val="837627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Replicate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2219874"/>
        <c:crosses val="autoZero"/>
        <c:auto val="1"/>
        <c:lblAlgn val="ctr"/>
        <c:lblOffset val="100"/>
        <c:noMultiLvlLbl val="0"/>
      </c:catAx>
      <c:valAx>
        <c:axId val="822198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Estimated prey / 24 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376276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39415</xdr:rowOff>
    </xdr:from>
    <xdr:to>
      <xdr:col>4</xdr:col>
      <xdr:colOff>324782</xdr:colOff>
      <xdr:row>39</xdr:row>
      <xdr:rowOff>36115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426984</xdr:colOff>
      <xdr:row>25</xdr:row>
      <xdr:rowOff>32845</xdr:rowOff>
    </xdr:from>
    <xdr:to>
      <xdr:col>7</xdr:col>
      <xdr:colOff>1145904</xdr:colOff>
      <xdr:row>39</xdr:row>
      <xdr:rowOff>29545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59121</xdr:colOff>
      <xdr:row>25</xdr:row>
      <xdr:rowOff>31859</xdr:rowOff>
    </xdr:from>
    <xdr:to>
      <xdr:col>11</xdr:col>
      <xdr:colOff>780011</xdr:colOff>
      <xdr:row>39</xdr:row>
      <xdr:rowOff>28559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zoomScaleNormal="100" workbookViewId="0">
      <pane ySplit="4" topLeftCell="A5" activePane="bottomLeft" state="frozen"/>
      <selection pane="bottomLeft" activeCell="H16" sqref="H16"/>
    </sheetView>
  </sheetViews>
  <sheetFormatPr baseColWidth="10" defaultColWidth="8.5" defaultRowHeight="15" x14ac:dyDescent="0.2"/>
  <cols>
    <col min="1" max="1" width="14" customWidth="1"/>
    <col min="2" max="2" width="12" customWidth="1"/>
    <col min="3" max="3" width="15" customWidth="1"/>
    <col min="4" max="4" width="14" customWidth="1"/>
    <col min="5" max="5" width="17" customWidth="1"/>
    <col min="6" max="6" width="15" customWidth="1"/>
    <col min="7" max="7" width="14" customWidth="1"/>
    <col min="8" max="8" width="15" customWidth="1"/>
    <col min="9" max="9" width="19" customWidth="1"/>
    <col min="10" max="10" width="15" customWidth="1"/>
    <col min="11" max="11" width="22" customWidth="1"/>
  </cols>
  <sheetData>
    <row r="1" spans="1:11" ht="27" customHeight="1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15" customHeight="1" x14ac:dyDescent="0.2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4" spans="1:11" ht="33.75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2">
      <c r="A5" s="2" t="s">
        <v>13</v>
      </c>
      <c r="B5" s="2" t="s">
        <v>14</v>
      </c>
      <c r="C5" s="3">
        <v>46289</v>
      </c>
      <c r="D5" s="4">
        <v>0.66666666666666696</v>
      </c>
      <c r="E5" s="2">
        <v>40</v>
      </c>
      <c r="F5" s="3">
        <v>46290</v>
      </c>
      <c r="G5" s="4">
        <v>0.68888888888888899</v>
      </c>
      <c r="H5" s="2">
        <v>6</v>
      </c>
      <c r="I5" s="2">
        <f>E5-H5</f>
        <v>34</v>
      </c>
      <c r="J5" s="5">
        <f t="shared" ref="J5:J16" si="0">((F5+G5)-(C5+D5))*24</f>
        <v>24.533333333325572</v>
      </c>
      <c r="K5" s="5">
        <f>I5*24/J5</f>
        <v>33.260869565227914</v>
      </c>
    </row>
    <row r="6" spans="1:11" x14ac:dyDescent="0.2">
      <c r="A6" s="6" t="s">
        <v>13</v>
      </c>
      <c r="B6" s="6" t="s">
        <v>15</v>
      </c>
      <c r="C6" s="7">
        <v>46289</v>
      </c>
      <c r="D6" s="8">
        <v>0.66944444444444395</v>
      </c>
      <c r="E6" s="6">
        <v>52</v>
      </c>
      <c r="F6" s="7">
        <v>46290</v>
      </c>
      <c r="G6" s="8">
        <v>0.69722222222222197</v>
      </c>
      <c r="H6" s="6">
        <v>11</v>
      </c>
      <c r="I6" s="6">
        <f t="shared" ref="I6:I16" si="1">E6-H6</f>
        <v>41</v>
      </c>
      <c r="J6" s="9">
        <f t="shared" si="0"/>
        <v>24.666666666744277</v>
      </c>
      <c r="K6" s="9">
        <f t="shared" ref="K6:K16" si="2">I6*24/J6</f>
        <v>39.891891891766377</v>
      </c>
    </row>
    <row r="7" spans="1:11" x14ac:dyDescent="0.2">
      <c r="A7" s="2" t="s">
        <v>13</v>
      </c>
      <c r="B7" s="2" t="s">
        <v>16</v>
      </c>
      <c r="C7" s="3">
        <v>46289</v>
      </c>
      <c r="D7" s="4">
        <v>0.67361111111111105</v>
      </c>
      <c r="E7" s="2">
        <v>52</v>
      </c>
      <c r="F7" s="3">
        <v>46290</v>
      </c>
      <c r="G7" s="4">
        <v>0.70902777777777803</v>
      </c>
      <c r="H7" s="2">
        <v>33</v>
      </c>
      <c r="I7" s="2">
        <f t="shared" si="1"/>
        <v>19</v>
      </c>
      <c r="J7" s="5">
        <f t="shared" si="0"/>
        <v>24.849999999976717</v>
      </c>
      <c r="K7" s="5">
        <f t="shared" si="2"/>
        <v>18.350100603638925</v>
      </c>
    </row>
    <row r="8" spans="1:11" x14ac:dyDescent="0.2">
      <c r="A8" s="6" t="s">
        <v>13</v>
      </c>
      <c r="B8" s="6" t="s">
        <v>17</v>
      </c>
      <c r="C8" s="7">
        <v>46289</v>
      </c>
      <c r="D8" s="8">
        <v>0.67847222222222203</v>
      </c>
      <c r="E8" s="6">
        <v>54</v>
      </c>
      <c r="F8" s="7">
        <v>46290</v>
      </c>
      <c r="G8" s="8">
        <v>0.71597222222222201</v>
      </c>
      <c r="H8" s="6">
        <v>32</v>
      </c>
      <c r="I8" s="6">
        <f t="shared" si="1"/>
        <v>22</v>
      </c>
      <c r="J8" s="9">
        <f t="shared" si="0"/>
        <v>24.899999999965075</v>
      </c>
      <c r="K8" s="9">
        <f t="shared" si="2"/>
        <v>21.204819277138174</v>
      </c>
    </row>
    <row r="9" spans="1:11" x14ac:dyDescent="0.2">
      <c r="A9" s="2" t="s">
        <v>18</v>
      </c>
      <c r="B9" s="2" t="s">
        <v>19</v>
      </c>
      <c r="C9" s="3">
        <v>46289</v>
      </c>
      <c r="D9" s="4">
        <v>0.6875</v>
      </c>
      <c r="E9" s="2">
        <v>50</v>
      </c>
      <c r="F9" s="3">
        <v>46290</v>
      </c>
      <c r="G9" s="4">
        <v>0.72222222222222199</v>
      </c>
      <c r="H9" s="2">
        <v>31</v>
      </c>
      <c r="I9" s="2">
        <f t="shared" si="1"/>
        <v>19</v>
      </c>
      <c r="J9" s="5">
        <f t="shared" si="0"/>
        <v>24.833333333255723</v>
      </c>
      <c r="K9" s="5">
        <f t="shared" si="2"/>
        <v>18.362416107439937</v>
      </c>
    </row>
    <row r="10" spans="1:11" x14ac:dyDescent="0.2">
      <c r="A10" s="6" t="s">
        <v>18</v>
      </c>
      <c r="B10" s="6" t="s">
        <v>20</v>
      </c>
      <c r="C10" s="7">
        <v>46289</v>
      </c>
      <c r="D10" s="8">
        <v>0.68958333333333299</v>
      </c>
      <c r="E10" s="6">
        <v>50</v>
      </c>
      <c r="F10" s="7">
        <v>46290</v>
      </c>
      <c r="G10" s="8">
        <v>0.73472222222222205</v>
      </c>
      <c r="H10" s="6">
        <v>3</v>
      </c>
      <c r="I10" s="6">
        <f t="shared" si="1"/>
        <v>47</v>
      </c>
      <c r="J10" s="9">
        <f t="shared" si="0"/>
        <v>25.083333333372138</v>
      </c>
      <c r="K10" s="9">
        <f t="shared" si="2"/>
        <v>44.970099667704517</v>
      </c>
    </row>
    <row r="11" spans="1:11" x14ac:dyDescent="0.2">
      <c r="A11" s="2" t="s">
        <v>18</v>
      </c>
      <c r="B11" s="2" t="s">
        <v>21</v>
      </c>
      <c r="C11" s="3">
        <v>46289</v>
      </c>
      <c r="D11" s="4">
        <v>0.69236111111111098</v>
      </c>
      <c r="E11" s="2">
        <v>55</v>
      </c>
      <c r="F11" s="3">
        <v>46290</v>
      </c>
      <c r="G11" s="4">
        <v>0.73472222222222205</v>
      </c>
      <c r="H11" s="2">
        <v>32</v>
      </c>
      <c r="I11" s="2">
        <f t="shared" si="1"/>
        <v>23</v>
      </c>
      <c r="J11" s="5">
        <f t="shared" si="0"/>
        <v>25.016666666662786</v>
      </c>
      <c r="K11" s="5">
        <f t="shared" si="2"/>
        <v>22.065289806798891</v>
      </c>
    </row>
    <row r="12" spans="1:11" x14ac:dyDescent="0.2">
      <c r="A12" s="6" t="s">
        <v>18</v>
      </c>
      <c r="B12" s="6" t="s">
        <v>22</v>
      </c>
      <c r="C12" s="7">
        <v>46289</v>
      </c>
      <c r="D12" s="8">
        <v>0.69583333333333297</v>
      </c>
      <c r="E12" s="6">
        <v>51</v>
      </c>
      <c r="F12" s="7">
        <v>46290</v>
      </c>
      <c r="G12" s="8">
        <v>0.73472222222222205</v>
      </c>
      <c r="H12" s="6">
        <v>22</v>
      </c>
      <c r="I12" s="6">
        <f t="shared" si="1"/>
        <v>29</v>
      </c>
      <c r="J12" s="9">
        <f t="shared" si="0"/>
        <v>24.933333333407063</v>
      </c>
      <c r="K12" s="9">
        <f t="shared" si="2"/>
        <v>27.914438502591253</v>
      </c>
    </row>
    <row r="13" spans="1:11" x14ac:dyDescent="0.2">
      <c r="A13" s="2" t="s">
        <v>23</v>
      </c>
      <c r="B13" s="2" t="s">
        <v>24</v>
      </c>
      <c r="C13" s="3">
        <v>46289</v>
      </c>
      <c r="D13" s="4">
        <v>0.70069444444444395</v>
      </c>
      <c r="E13" s="2">
        <v>51</v>
      </c>
      <c r="F13" s="3">
        <v>46290</v>
      </c>
      <c r="G13" s="4">
        <v>0.73472222222222205</v>
      </c>
      <c r="H13" s="2">
        <v>5</v>
      </c>
      <c r="I13" s="2">
        <f t="shared" si="1"/>
        <v>46</v>
      </c>
      <c r="J13" s="5">
        <f t="shared" si="0"/>
        <v>24.816666666709352</v>
      </c>
      <c r="K13" s="5">
        <f t="shared" si="2"/>
        <v>44.486232370642085</v>
      </c>
    </row>
    <row r="14" spans="1:11" x14ac:dyDescent="0.2">
      <c r="A14" s="6" t="s">
        <v>23</v>
      </c>
      <c r="B14" s="6" t="s">
        <v>25</v>
      </c>
      <c r="C14" s="7">
        <v>46289</v>
      </c>
      <c r="D14" s="8">
        <v>0.70138888888888895</v>
      </c>
      <c r="E14" s="6">
        <v>53</v>
      </c>
      <c r="F14" s="7">
        <v>46290</v>
      </c>
      <c r="G14" s="8">
        <v>0.73472222222222205</v>
      </c>
      <c r="H14" s="6">
        <v>17</v>
      </c>
      <c r="I14" s="6">
        <f t="shared" si="1"/>
        <v>36</v>
      </c>
      <c r="J14" s="9">
        <f t="shared" si="0"/>
        <v>24.799999999988358</v>
      </c>
      <c r="K14" s="9">
        <f t="shared" si="2"/>
        <v>34.838709677435709</v>
      </c>
    </row>
    <row r="15" spans="1:11" x14ac:dyDescent="0.2">
      <c r="A15" s="2" t="s">
        <v>23</v>
      </c>
      <c r="B15" s="2" t="s">
        <v>26</v>
      </c>
      <c r="C15" s="3">
        <v>46289</v>
      </c>
      <c r="D15" s="4">
        <v>0.70486111111111105</v>
      </c>
      <c r="E15" s="2">
        <v>52</v>
      </c>
      <c r="F15" s="3">
        <v>46290</v>
      </c>
      <c r="G15" s="4">
        <v>0.73611111111111105</v>
      </c>
      <c r="H15" s="2">
        <v>1</v>
      </c>
      <c r="I15" s="2">
        <f t="shared" si="1"/>
        <v>51</v>
      </c>
      <c r="J15" s="5">
        <f t="shared" si="0"/>
        <v>24.75</v>
      </c>
      <c r="K15" s="5">
        <f t="shared" si="2"/>
        <v>49.454545454545453</v>
      </c>
    </row>
    <row r="16" spans="1:11" x14ac:dyDescent="0.2">
      <c r="A16" s="6" t="s">
        <v>23</v>
      </c>
      <c r="B16" s="6" t="s">
        <v>27</v>
      </c>
      <c r="C16" s="7">
        <v>46289</v>
      </c>
      <c r="D16" s="8">
        <v>0.70833333333333304</v>
      </c>
      <c r="E16" s="6">
        <v>54</v>
      </c>
      <c r="F16" s="7">
        <v>46290</v>
      </c>
      <c r="G16" s="8">
        <v>0.73472222222222205</v>
      </c>
      <c r="H16" s="6">
        <v>3</v>
      </c>
      <c r="I16" s="6">
        <f t="shared" si="1"/>
        <v>51</v>
      </c>
      <c r="J16" s="9">
        <f t="shared" si="0"/>
        <v>24.633333333302289</v>
      </c>
      <c r="K16" s="9">
        <f t="shared" si="2"/>
        <v>49.688768606287248</v>
      </c>
    </row>
    <row r="18" spans="1:11" ht="33.75" customHeight="1" x14ac:dyDescent="0.2">
      <c r="A18" s="22" t="s">
        <v>42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</row>
  </sheetData>
  <autoFilter ref="A4:K16" xr:uid="{00000000-0009-0000-0000-000000000000}"/>
  <mergeCells count="3">
    <mergeCell ref="A1:K1"/>
    <mergeCell ref="A2:K2"/>
    <mergeCell ref="A18:K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zoomScaleNormal="100" workbookViewId="0">
      <pane ySplit="4" topLeftCell="A5" activePane="bottomLeft" state="frozen"/>
      <selection pane="bottomLeft" activeCell="I21" sqref="I21"/>
    </sheetView>
  </sheetViews>
  <sheetFormatPr baseColWidth="10" defaultColWidth="8.5" defaultRowHeight="15" x14ac:dyDescent="0.2"/>
  <cols>
    <col min="1" max="1" width="11.6640625" bestFit="1" customWidth="1"/>
    <col min="2" max="2" width="8" customWidth="1"/>
    <col min="3" max="3" width="25" customWidth="1"/>
    <col min="4" max="5" width="24" customWidth="1"/>
    <col min="6" max="6" width="22" customWidth="1"/>
    <col min="7" max="7" width="20" customWidth="1"/>
  </cols>
  <sheetData>
    <row r="1" spans="1:7" ht="27" customHeight="1" x14ac:dyDescent="0.2">
      <c r="A1" s="19" t="s">
        <v>28</v>
      </c>
      <c r="B1" s="19"/>
      <c r="C1" s="19"/>
      <c r="D1" s="19"/>
      <c r="E1" s="19"/>
      <c r="F1" s="19"/>
      <c r="G1" s="19"/>
    </row>
    <row r="2" spans="1:7" ht="15" customHeight="1" x14ac:dyDescent="0.2">
      <c r="A2" s="23" t="s">
        <v>41</v>
      </c>
      <c r="B2" s="23"/>
      <c r="C2" s="23"/>
      <c r="D2" s="23"/>
      <c r="E2" s="23"/>
      <c r="F2" s="23"/>
      <c r="G2" s="23"/>
    </row>
    <row r="4" spans="1:7" ht="42" customHeight="1" x14ac:dyDescent="0.2">
      <c r="A4" s="1" t="s">
        <v>2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</row>
    <row r="5" spans="1:7" x14ac:dyDescent="0.2">
      <c r="A5" s="10" t="s">
        <v>13</v>
      </c>
      <c r="B5" s="10">
        <f>COUNTIF(Data!$A$5:$A$16,A5)</f>
        <v>4</v>
      </c>
      <c r="C5" s="11">
        <f>AVERAGEIF(Data!$A$5:$A$16,A5,Data!$I$5:$I$16)</f>
        <v>29</v>
      </c>
      <c r="D5" s="11">
        <f>STDEV(Data!I5:I8)</f>
        <v>10.295630140987001</v>
      </c>
      <c r="E5" s="11">
        <f>AVERAGEIF(Data!$A$5:$A$16,A5,Data!$K$5:$K$16)</f>
        <v>28.176920334442844</v>
      </c>
      <c r="F5" s="11">
        <f>STDEV(Data!K5:K8)</f>
        <v>10.136792351710444</v>
      </c>
      <c r="G5" s="11">
        <f>AVERAGEIF(Data!$A$5:$A$16,A5,Data!$J$5:$J$16)</f>
        <v>24.73750000000291</v>
      </c>
    </row>
    <row r="6" spans="1:7" x14ac:dyDescent="0.2">
      <c r="A6" s="12" t="s">
        <v>18</v>
      </c>
      <c r="B6" s="12">
        <f>COUNTIF(Data!$A$5:$A$16,A6)</f>
        <v>4</v>
      </c>
      <c r="C6" s="13">
        <f>AVERAGEIF(Data!$A$5:$A$16,A6,Data!$I$5:$I$16)</f>
        <v>29.5</v>
      </c>
      <c r="D6" s="13">
        <f>STDEV(Data!I9:I12)</f>
        <v>12.369316876852981</v>
      </c>
      <c r="E6" s="13">
        <f>AVERAGEIF(Data!$A$5:$A$16,A6,Data!$K$5:$K$16)</f>
        <v>28.328061021133649</v>
      </c>
      <c r="F6" s="13">
        <f>STDEV(Data!K9:K12)</f>
        <v>11.770937596905537</v>
      </c>
      <c r="G6" s="13">
        <f>AVERAGEIF(Data!$A$5:$A$16,A6,Data!$J$5:$J$16)</f>
        <v>24.966666666674428</v>
      </c>
    </row>
    <row r="7" spans="1:7" x14ac:dyDescent="0.2">
      <c r="A7" s="10" t="s">
        <v>23</v>
      </c>
      <c r="B7" s="10">
        <f>COUNTIF(Data!$A$5:$A$16,A7)</f>
        <v>4</v>
      </c>
      <c r="C7" s="11">
        <f>AVERAGEIF(Data!$A$5:$A$16,A7,Data!$I$5:$I$16)</f>
        <v>46</v>
      </c>
      <c r="D7" s="11">
        <f>STDEV(Data!I13:I16)</f>
        <v>7.0710678118654755</v>
      </c>
      <c r="E7" s="11">
        <f>AVERAGEIF(Data!$A$5:$A$16,A7,Data!$K$5:$K$16)</f>
        <v>44.61706402722762</v>
      </c>
      <c r="F7" s="11">
        <f>STDEV(Data!K13:K16)</f>
        <v>6.9463838220415282</v>
      </c>
      <c r="G7" s="11">
        <f>AVERAGEIF(Data!$A$5:$A$16,A7,Data!$J$5:$J$16)</f>
        <v>24.75</v>
      </c>
    </row>
    <row r="10" spans="1:7" ht="16" x14ac:dyDescent="0.2">
      <c r="A10" s="14"/>
    </row>
    <row r="11" spans="1:7" ht="37.5" customHeight="1" x14ac:dyDescent="0.2">
      <c r="A11" s="24" t="s">
        <v>40</v>
      </c>
      <c r="B11" s="24"/>
      <c r="C11" s="24"/>
      <c r="D11" s="24"/>
      <c r="E11" s="24"/>
      <c r="F11" s="24"/>
      <c r="G11" s="24"/>
    </row>
  </sheetData>
  <mergeCells count="3">
    <mergeCell ref="A1:G1"/>
    <mergeCell ref="A2:G2"/>
    <mergeCell ref="A11:G1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4"/>
  <sheetViews>
    <sheetView zoomScale="115" zoomScaleNormal="115" workbookViewId="0">
      <pane ySplit="2" topLeftCell="A3" activePane="bottomLeft" state="frozen"/>
      <selection pane="bottomLeft" activeCell="B16" sqref="B16"/>
    </sheetView>
  </sheetViews>
  <sheetFormatPr baseColWidth="10" defaultColWidth="8.5" defaultRowHeight="15" x14ac:dyDescent="0.2"/>
  <cols>
    <col min="1" max="1" width="16" customWidth="1"/>
    <col min="2" max="3" width="20" customWidth="1"/>
    <col min="4" max="4" width="4" customWidth="1"/>
    <col min="5" max="14" width="18" customWidth="1"/>
  </cols>
  <sheetData>
    <row r="1" spans="1:14" ht="27" customHeight="1" x14ac:dyDescent="0.2">
      <c r="A1" s="19" t="s">
        <v>35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3" spans="1:14" x14ac:dyDescent="0.2">
      <c r="A3" s="15" t="s">
        <v>36</v>
      </c>
      <c r="B3" s="16"/>
      <c r="C3" s="16"/>
    </row>
    <row r="4" spans="1:14" x14ac:dyDescent="0.2">
      <c r="A4" s="17" t="s">
        <v>43</v>
      </c>
      <c r="B4" s="17" t="s">
        <v>12</v>
      </c>
      <c r="C4" s="17" t="s">
        <v>37</v>
      </c>
    </row>
    <row r="5" spans="1:14" x14ac:dyDescent="0.2">
      <c r="A5" t="str">
        <f>Data!B5</f>
        <v>S1</v>
      </c>
      <c r="B5" s="18">
        <f>Data!K5</f>
        <v>33.260869565227914</v>
      </c>
      <c r="C5" s="18">
        <f>Summary!E5</f>
        <v>28.176920334442844</v>
      </c>
    </row>
    <row r="6" spans="1:14" x14ac:dyDescent="0.2">
      <c r="A6" t="str">
        <f>Data!B6</f>
        <v>S2</v>
      </c>
      <c r="B6" s="18">
        <f>Data!K6</f>
        <v>39.891891891766377</v>
      </c>
      <c r="C6" s="18">
        <f>Summary!E5</f>
        <v>28.176920334442844</v>
      </c>
    </row>
    <row r="7" spans="1:14" x14ac:dyDescent="0.2">
      <c r="A7" t="str">
        <f>Data!B7</f>
        <v>S3</v>
      </c>
      <c r="B7" s="18">
        <f>Data!K7</f>
        <v>18.350100603638925</v>
      </c>
      <c r="C7" s="18">
        <f>Summary!E5</f>
        <v>28.176920334442844</v>
      </c>
    </row>
    <row r="8" spans="1:14" x14ac:dyDescent="0.2">
      <c r="A8" t="str">
        <f>Data!B8</f>
        <v>S4</v>
      </c>
      <c r="B8" s="18">
        <f>Data!K8</f>
        <v>21.204819277138174</v>
      </c>
      <c r="C8" s="18">
        <f>Summary!E5</f>
        <v>28.176920334442844</v>
      </c>
    </row>
    <row r="11" spans="1:14" x14ac:dyDescent="0.2">
      <c r="A11" s="15" t="s">
        <v>38</v>
      </c>
      <c r="B11" s="16"/>
      <c r="C11" s="16"/>
    </row>
    <row r="12" spans="1:14" x14ac:dyDescent="0.2">
      <c r="A12" s="17" t="s">
        <v>43</v>
      </c>
      <c r="B12" s="17" t="s">
        <v>12</v>
      </c>
      <c r="C12" s="17" t="s">
        <v>37</v>
      </c>
    </row>
    <row r="13" spans="1:14" x14ac:dyDescent="0.2">
      <c r="A13" t="str">
        <f>Data!B9</f>
        <v>M1</v>
      </c>
      <c r="B13" s="18">
        <f>Data!K9</f>
        <v>18.362416107439937</v>
      </c>
      <c r="C13" s="18">
        <f>Summary!E6</f>
        <v>28.328061021133649</v>
      </c>
    </row>
    <row r="14" spans="1:14" x14ac:dyDescent="0.2">
      <c r="A14" t="str">
        <f>Data!B10</f>
        <v>M2</v>
      </c>
      <c r="B14" s="18">
        <f>Data!K10</f>
        <v>44.970099667704517</v>
      </c>
      <c r="C14" s="18">
        <f>Summary!E6</f>
        <v>28.328061021133649</v>
      </c>
    </row>
    <row r="15" spans="1:14" x14ac:dyDescent="0.2">
      <c r="A15" t="str">
        <f>Data!B11</f>
        <v>M3</v>
      </c>
      <c r="B15" s="18">
        <f>Data!K11</f>
        <v>22.065289806798891</v>
      </c>
      <c r="C15" s="18">
        <f>Summary!E6</f>
        <v>28.328061021133649</v>
      </c>
    </row>
    <row r="16" spans="1:14" x14ac:dyDescent="0.2">
      <c r="A16" t="str">
        <f>Data!B12</f>
        <v>M4</v>
      </c>
      <c r="B16" s="18">
        <f>Data!K12</f>
        <v>27.914438502591253</v>
      </c>
      <c r="C16" s="18">
        <f>Summary!E6</f>
        <v>28.328061021133649</v>
      </c>
    </row>
    <row r="19" spans="1:3" x14ac:dyDescent="0.2">
      <c r="A19" s="15" t="s">
        <v>39</v>
      </c>
      <c r="B19" s="16"/>
      <c r="C19" s="16"/>
    </row>
    <row r="20" spans="1:3" x14ac:dyDescent="0.2">
      <c r="A20" s="17" t="s">
        <v>43</v>
      </c>
      <c r="B20" s="17" t="s">
        <v>12</v>
      </c>
      <c r="C20" s="17" t="s">
        <v>37</v>
      </c>
    </row>
    <row r="21" spans="1:3" x14ac:dyDescent="0.2">
      <c r="A21" t="str">
        <f>Data!B13</f>
        <v>L1</v>
      </c>
      <c r="B21" s="18">
        <f>Data!K13</f>
        <v>44.486232370642085</v>
      </c>
      <c r="C21" s="18">
        <f>Summary!E7</f>
        <v>44.61706402722762</v>
      </c>
    </row>
    <row r="22" spans="1:3" x14ac:dyDescent="0.2">
      <c r="A22" t="str">
        <f>Data!B14</f>
        <v>L2</v>
      </c>
      <c r="B22" s="18">
        <f>Data!K14</f>
        <v>34.838709677435709</v>
      </c>
      <c r="C22" s="18">
        <f>Summary!E7</f>
        <v>44.61706402722762</v>
      </c>
    </row>
    <row r="23" spans="1:3" x14ac:dyDescent="0.2">
      <c r="A23" t="str">
        <f>Data!B15</f>
        <v>L3</v>
      </c>
      <c r="B23" s="18">
        <f>Data!K15</f>
        <v>49.454545454545453</v>
      </c>
      <c r="C23" s="18">
        <f>Summary!E7</f>
        <v>44.61706402722762</v>
      </c>
    </row>
    <row r="24" spans="1:3" x14ac:dyDescent="0.2">
      <c r="A24" t="str">
        <f>Data!B16</f>
        <v>L4</v>
      </c>
      <c r="B24" s="18">
        <f>Data!K16</f>
        <v>49.688768606287248</v>
      </c>
      <c r="C24" s="18">
        <f>Summary!E7</f>
        <v>44.61706402722762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Emanuele Giacomuzzo</cp:lastModifiedBy>
  <dcterms:modified xsi:type="dcterms:W3CDTF">2026-10-21T11:58:17Z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2026-09-28T07:44:44Z</dcterms:created>
  <dc:creator>openpyxl</dc:creator>
  <dc:description/>
  <dc:language>en-US</dc:language>
  <cp:lastModifiedBy/>
  <dcterms:modified xsi:type="dcterms:W3CDTF">2026-09-28T07:44:44Z</dcterms:modified>
  <cp:revision>0</cp:revision>
  <dc:subject/>
  <dc:title/>
</cp:coreProperties>
</file>